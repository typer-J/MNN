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50" windowHeight="17680"/>
  </bookViews>
  <sheets>
    <sheet name="Summary" sheetId="1" r:id="rId1"/>
    <sheet name="Raw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<sst xmlns="http://schemas.openxmlformats.org/spreadsheetml/2006/main" count="58" uniqueCount="35">
  <si>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CPUAttentionCPUConvolution RVV Perf Results</t>
  </si>
  <si>
    <t>Source</t>
  </si>
  <si>
    <t>/data/xjj/CPUAttentionCPUConvolution/perf_CPUAttentionCPUConvolutionOpt/run_perf_all.sh</t>
  </si>
  <si>
    <t>Target</t>
  </si>
  <si>
    <t>Scalar ms</t>
  </si>
  <si>
    <t>RVV ms</t>
  </si>
  <si>
    <t>Speedup</t>
  </si>
  <si>
    <t>Time change</t>
  </si>
  <si>
    <t>Scalar cycles</t>
  </si>
  <si>
    <t>RVV cycles</t>
  </si>
  <si>
    <t>Scalar instructions</t>
  </si>
  <si>
    <t>RVV instructions</t>
  </si>
  <si>
    <t>MNNAttentionMaskQK</t>
  </si>
  <si>
    <t>MNNAttenPackAndScaleSingleHead</t>
  </si>
  <si>
    <t>MNNFlashAttentionUpdateBlockOutput</t>
  </si>
  <si>
    <t>MNNUnpackConvScaleFromBuffer</t>
  </si>
  <si>
    <t>MNNConvInt8ComputeBiasFloat</t>
  </si>
  <si>
    <t>MNNConvInt8ComputeWeightKernelSum</t>
  </si>
  <si>
    <t>Mode</t>
  </si>
  <si>
    <t>Duration ns</t>
  </si>
  <si>
    <t>Duration ms</t>
  </si>
  <si>
    <t>Cycles</t>
  </si>
  <si>
    <t>Instructions</t>
  </si>
  <si>
    <t>IPC</t>
  </si>
  <si>
    <t>Cache refs</t>
  </si>
  <si>
    <t>Cache misses</t>
  </si>
  <si>
    <t>Cache miss %</t>
  </si>
  <si>
    <t>Branches</t>
  </si>
  <si>
    <t>Branch misses</t>
  </si>
  <si>
    <t>Branch miss %</t>
  </si>
  <si>
    <t>Elapsed s</t>
  </si>
  <si>
    <t>User s</t>
  </si>
  <si>
    <t>Sys s</t>
  </si>
  <si>
    <t>Scalar</t>
  </si>
  <si>
    <t>RVV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</si>
</sst>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0"/>
    <numFmt numFmtId="178" formatCode="0.00#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/>
    <xf numFmtId="176" fontId="0" fillId="0" borderId="0" xfId="49" applyNumberFormat="1" applyFont="1" applyFill="1" applyBorder="1"/>
    <xf numFmtId="2" fontId="0" fillId="0" borderId="0" xfId="49" applyNumberFormat="1" applyFont="1" applyFill="1" applyBorder="1"/>
    <xf numFmtId="10" fontId="0" fillId="0" borderId="0" xfId="49" applyNumberFormat="1" applyFont="1" applyFill="1" applyBorder="1"/>
    <xf numFmtId="177" fontId="0" fillId="0" borderId="0" xfId="49" applyNumberFormat="1" applyFont="1" applyFill="1" applyBorder="1"/>
    <xf numFmtId="0" fontId="2" fillId="3" borderId="0" xfId="49" applyNumberFormat="1" applyFont="1" applyFill="1" applyBorder="1"/>
    <xf numFmtId="0" fontId="3" fillId="4" borderId="0" xfId="49" applyNumberFormat="1" applyFont="1" applyFill="1" applyBorder="1"/>
    <xf numFmtId="0" fontId="0" fillId="0" borderId="0" xfId="49" applyNumberFormat="1" applyFont="1" applyFill="1" applyBorder="1"/>
    <xf numFmtId="178" fontId="0" fillId="0" borderId="0" xfId="49" applyNumberFormat="1" applyFont="1" applyFill="1" applyBorder="1"/>
    <xf numFmtId="3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tabSelected="1" workbookViewId="0">
      <selection activeCell="A1" sqref="A1:I1"/>
    </sheetView>
  </sheetViews>
  <sheetFormatPr defaultColWidth="9" defaultRowHeight="14"/>
  <sheetData>
    <row r="1" ht="18" spans="1:9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>
      <c r="A2" s="7" t="s">
        <v>1</v>
      </c>
      <c r="B2" s="7" t="s">
        <v>2</v>
      </c>
      <c r="C2" s="7"/>
      <c r="D2" s="7"/>
      <c r="E2" s="7"/>
      <c r="F2" s="7"/>
      <c r="G2" s="7"/>
      <c r="H2" s="7"/>
      <c r="I2" s="7"/>
    </row>
    <row r="4" spans="1:9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>
      <c r="A5" s="8" t="s">
        <v>12</v>
      </c>
      <c r="B5" s="2">
        <f>RawData!D2</f>
        <v>246.303644</v>
      </c>
      <c r="C5" s="2">
        <f>RawData!D3</f>
        <v>203.738917</v>
      </c>
      <c r="D5" s="9">
        <f t="shared" ref="D5:D10" si="0">B5/C5</f>
        <v>1.20891799969664</v>
      </c>
      <c r="E5" s="4">
        <f t="shared" ref="E5:E10" si="1">C5/B5-1</f>
        <v>-0.172814036807348</v>
      </c>
      <c r="F5" s="10">
        <f>RawData!E2</f>
        <v>636598256</v>
      </c>
      <c r="G5" s="10">
        <f>RawData!E3</f>
        <v>525835190</v>
      </c>
      <c r="H5" s="10">
        <f>RawData!F2</f>
        <v>1296068154</v>
      </c>
      <c r="I5" s="10">
        <f>RawData!F3</f>
        <v>630728647</v>
      </c>
    </row>
    <row r="6" spans="1:9">
      <c r="A6" s="8" t="s">
        <v>13</v>
      </c>
      <c r="B6" s="2">
        <f>RawData!D4</f>
        <v>2994.03476</v>
      </c>
      <c r="C6" s="2">
        <f>RawData!D5</f>
        <v>2750.040165</v>
      </c>
      <c r="D6" s="9">
        <f t="shared" si="0"/>
        <v>1.08872401141821</v>
      </c>
      <c r="E6" s="4">
        <f t="shared" si="1"/>
        <v>-0.0814935745769365</v>
      </c>
      <c r="F6" s="10">
        <f>RawData!E4</f>
        <v>7771677809</v>
      </c>
      <c r="G6" s="10">
        <f>RawData!E5</f>
        <v>7098843877</v>
      </c>
      <c r="H6" s="10">
        <f>RawData!F4</f>
        <v>3330446417</v>
      </c>
      <c r="I6" s="10">
        <f>RawData!F5</f>
        <v>340572942</v>
      </c>
    </row>
    <row r="7" spans="1:9">
      <c r="A7" s="8" t="s">
        <v>14</v>
      </c>
      <c r="B7" s="2">
        <f>RawData!D6</f>
        <v>662.398756</v>
      </c>
      <c r="C7" s="2">
        <f>RawData!D7</f>
        <v>691.124702</v>
      </c>
      <c r="D7" s="9">
        <f t="shared" si="0"/>
        <v>0.958435943735086</v>
      </c>
      <c r="E7" s="4">
        <f t="shared" si="1"/>
        <v>0.0433665458151915</v>
      </c>
      <c r="F7" s="10">
        <f>RawData!E6</f>
        <v>1718128939</v>
      </c>
      <c r="G7" s="10">
        <f>RawData!E7</f>
        <v>1793088699</v>
      </c>
      <c r="H7" s="10">
        <f>RawData!F6</f>
        <v>3304054872</v>
      </c>
      <c r="I7" s="10">
        <f>RawData!F7</f>
        <v>2201006989</v>
      </c>
    </row>
    <row r="8" spans="1:9">
      <c r="A8" s="8" t="s">
        <v>15</v>
      </c>
      <c r="B8" s="2">
        <f>RawData!D8</f>
        <v>606.095868</v>
      </c>
      <c r="C8" s="2">
        <f>RawData!D9</f>
        <v>538.773912</v>
      </c>
      <c r="D8" s="9">
        <f t="shared" si="0"/>
        <v>1.12495400111355</v>
      </c>
      <c r="E8" s="4">
        <f t="shared" si="1"/>
        <v>-0.111074764825818</v>
      </c>
      <c r="F8" s="10">
        <f>RawData!E8</f>
        <v>1563097886</v>
      </c>
      <c r="G8" s="10">
        <f>RawData!E9</f>
        <v>1397814791</v>
      </c>
      <c r="H8" s="10">
        <f>RawData!F8</f>
        <v>527549606</v>
      </c>
      <c r="I8" s="10">
        <f>RawData!F9</f>
        <v>441199527</v>
      </c>
    </row>
    <row r="9" spans="1:9">
      <c r="A9" s="8" t="s">
        <v>16</v>
      </c>
      <c r="B9" s="2">
        <f>RawData!D10</f>
        <v>4843.39554</v>
      </c>
      <c r="C9" s="2">
        <f>RawData!D11</f>
        <v>5258.88417</v>
      </c>
      <c r="D9" s="9">
        <f t="shared" si="0"/>
        <v>0.920993006012528</v>
      </c>
      <c r="E9" s="4">
        <f t="shared" si="1"/>
        <v>0.0857845754220601</v>
      </c>
      <c r="F9" s="10">
        <f>RawData!E10</f>
        <v>12581057424</v>
      </c>
      <c r="G9" s="10">
        <f>RawData!E11</f>
        <v>13577147830</v>
      </c>
      <c r="H9" s="10">
        <f>RawData!F10</f>
        <v>10447820352</v>
      </c>
      <c r="I9" s="10">
        <f>RawData!F11</f>
        <v>1464300149</v>
      </c>
    </row>
    <row r="10" spans="1:9">
      <c r="A10" s="8" t="s">
        <v>17</v>
      </c>
      <c r="B10" s="2">
        <f>RawData!D12</f>
        <v>830.418495</v>
      </c>
      <c r="C10" s="2">
        <f>RawData!D13</f>
        <v>456.65857</v>
      </c>
      <c r="D10" s="9">
        <f t="shared" si="0"/>
        <v>1.81846690186938</v>
      </c>
      <c r="E10" s="4">
        <f t="shared" si="1"/>
        <v>-0.450086224295859</v>
      </c>
      <c r="F10" s="10">
        <f>RawData!E12</f>
        <v>2153034837</v>
      </c>
      <c r="G10" s="10">
        <f>RawData!E13</f>
        <v>1183743075</v>
      </c>
      <c r="H10" s="10">
        <f>RawData!F12</f>
        <v>2470837959</v>
      </c>
      <c r="I10" s="10">
        <f>RawData!F13</f>
        <v>1456547822</v>
      </c>
    </row>
  </sheetData>
  <mergeCells count="2">
    <mergeCell ref="A1:I1"/>
    <mergeCell ref="B2:I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showGridLines="0" workbookViewId="0">
      <selection activeCell="A1" sqref="A1"/>
    </sheetView>
  </sheetViews>
  <sheetFormatPr defaultColWidth="9" defaultRowHeight="14"/>
  <sheetData>
    <row r="1" spans="1:16">
      <c r="A1" s="1" t="s">
        <v>3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12</v>
      </c>
      <c r="B2" t="s">
        <v>33</v>
      </c>
      <c r="C2">
        <v>246303644</v>
      </c>
      <c r="D2" s="2">
        <v>246.303644</v>
      </c>
      <c r="E2">
        <v>636598256</v>
      </c>
      <c r="F2">
        <v>1296068154</v>
      </c>
      <c r="G2" s="3">
        <v>2.04</v>
      </c>
      <c r="H2">
        <v>118710414</v>
      </c>
      <c r="I2">
        <v>47808</v>
      </c>
      <c r="J2" s="4">
        <v>0.0004</v>
      </c>
      <c r="K2">
        <v>224294936</v>
      </c>
      <c r="L2">
        <v>286836</v>
      </c>
      <c r="M2" s="4">
        <v>0.0013</v>
      </c>
      <c r="N2" s="5">
        <v>0.246303644</v>
      </c>
      <c r="O2" s="5">
        <v>0.245472</v>
      </c>
      <c r="P2" s="5">
        <v>0</v>
      </c>
    </row>
    <row r="3" spans="1:16">
      <c r="A3" t="s">
        <v>12</v>
      </c>
      <c r="B3" t="s">
        <v>34</v>
      </c>
      <c r="C3">
        <v>203738917</v>
      </c>
      <c r="D3" s="2">
        <v>203.738917</v>
      </c>
      <c r="E3">
        <v>525835190</v>
      </c>
      <c r="F3">
        <v>630728647</v>
      </c>
      <c r="G3" s="3">
        <v>1.2</v>
      </c>
      <c r="H3">
        <v>28334743</v>
      </c>
      <c r="I3">
        <v>38847</v>
      </c>
      <c r="J3" s="4">
        <v>0.0014</v>
      </c>
      <c r="K3">
        <v>139597522</v>
      </c>
      <c r="L3">
        <v>284502</v>
      </c>
      <c r="M3" s="4">
        <v>0.002</v>
      </c>
      <c r="N3" s="5">
        <v>0.203738917</v>
      </c>
      <c r="O3" s="5">
        <v>0.193731</v>
      </c>
      <c r="P3" s="5">
        <v>0.009689</v>
      </c>
    </row>
    <row r="4" spans="1:16">
      <c r="A4" t="s">
        <v>13</v>
      </c>
      <c r="B4" t="s">
        <v>33</v>
      </c>
      <c r="C4">
        <v>2994034760</v>
      </c>
      <c r="D4" s="2">
        <v>2994.03476</v>
      </c>
      <c r="E4">
        <v>7771677809</v>
      </c>
      <c r="F4">
        <v>3330446417</v>
      </c>
      <c r="G4" s="3">
        <v>0.43</v>
      </c>
      <c r="H4">
        <v>595370664</v>
      </c>
      <c r="I4">
        <v>89583418</v>
      </c>
      <c r="J4" s="4">
        <v>0.1505</v>
      </c>
      <c r="K4">
        <v>331598135</v>
      </c>
      <c r="L4">
        <v>213590</v>
      </c>
      <c r="M4" s="4">
        <v>0.0006</v>
      </c>
      <c r="N4" s="5">
        <v>2.99403476</v>
      </c>
      <c r="O4" s="5">
        <v>2.971423</v>
      </c>
      <c r="P4" s="5">
        <v>0.010003</v>
      </c>
    </row>
    <row r="5" spans="1:16">
      <c r="A5" t="s">
        <v>13</v>
      </c>
      <c r="B5" t="s">
        <v>34</v>
      </c>
      <c r="C5">
        <v>2750040165</v>
      </c>
      <c r="D5" s="2">
        <v>2750.040165</v>
      </c>
      <c r="E5">
        <v>7098843877</v>
      </c>
      <c r="F5">
        <v>340572942</v>
      </c>
      <c r="G5" s="3">
        <v>0.05</v>
      </c>
      <c r="H5">
        <v>616766101</v>
      </c>
      <c r="I5">
        <v>89530851</v>
      </c>
      <c r="J5" s="4">
        <v>0.1452</v>
      </c>
      <c r="K5">
        <v>23996562</v>
      </c>
      <c r="L5">
        <v>229856</v>
      </c>
      <c r="M5" s="4">
        <v>0.0096</v>
      </c>
      <c r="N5" s="5">
        <v>2.750040165</v>
      </c>
      <c r="O5" s="5">
        <v>2.693504</v>
      </c>
      <c r="P5" s="5">
        <v>0.02997</v>
      </c>
    </row>
    <row r="6" spans="1:16">
      <c r="A6" t="s">
        <v>14</v>
      </c>
      <c r="B6" t="s">
        <v>33</v>
      </c>
      <c r="C6">
        <v>662398756</v>
      </c>
      <c r="D6" s="2">
        <v>662.398756</v>
      </c>
      <c r="E6">
        <v>1718128939</v>
      </c>
      <c r="F6">
        <v>3304054872</v>
      </c>
      <c r="G6" s="3">
        <v>1.92</v>
      </c>
      <c r="H6">
        <v>125774370</v>
      </c>
      <c r="I6">
        <v>20903775</v>
      </c>
      <c r="J6" s="4">
        <v>0.1662</v>
      </c>
      <c r="K6">
        <v>395863787</v>
      </c>
      <c r="L6">
        <v>1085811</v>
      </c>
      <c r="M6" s="4">
        <v>0.0027</v>
      </c>
      <c r="N6" s="5">
        <v>0.662398756</v>
      </c>
      <c r="O6" s="5">
        <v>0.660914</v>
      </c>
      <c r="P6" s="5">
        <v>0</v>
      </c>
    </row>
    <row r="7" spans="1:16">
      <c r="A7" t="s">
        <v>14</v>
      </c>
      <c r="B7" t="s">
        <v>34</v>
      </c>
      <c r="C7">
        <v>691124702</v>
      </c>
      <c r="D7" s="2">
        <v>691.124702</v>
      </c>
      <c r="E7">
        <v>1793088699</v>
      </c>
      <c r="F7">
        <v>2201006989</v>
      </c>
      <c r="G7" s="3">
        <v>1.23</v>
      </c>
      <c r="H7">
        <v>125807341</v>
      </c>
      <c r="I7">
        <v>24017719</v>
      </c>
      <c r="J7" s="4">
        <v>0.1909</v>
      </c>
      <c r="K7">
        <v>267034499</v>
      </c>
      <c r="L7">
        <v>1618730</v>
      </c>
      <c r="M7" s="4">
        <v>0.0061</v>
      </c>
      <c r="N7" s="5">
        <v>0.691124702</v>
      </c>
      <c r="O7" s="5">
        <v>0.689357</v>
      </c>
      <c r="P7" s="5">
        <v>0</v>
      </c>
    </row>
    <row r="8" spans="1:16">
      <c r="A8" t="s">
        <v>15</v>
      </c>
      <c r="B8" t="s">
        <v>33</v>
      </c>
      <c r="C8">
        <v>606095868</v>
      </c>
      <c r="D8" s="2">
        <v>606.095868</v>
      </c>
      <c r="E8">
        <v>1563097886</v>
      </c>
      <c r="F8">
        <v>527549606</v>
      </c>
      <c r="G8" s="3">
        <v>0.34</v>
      </c>
      <c r="H8">
        <v>56800225</v>
      </c>
      <c r="I8">
        <v>40087735</v>
      </c>
      <c r="J8" s="4">
        <v>0.7058</v>
      </c>
      <c r="K8">
        <v>41921011</v>
      </c>
      <c r="L8">
        <v>966898</v>
      </c>
      <c r="M8" s="4">
        <v>0.0231</v>
      </c>
      <c r="N8" s="5">
        <v>0.606095868</v>
      </c>
      <c r="O8" s="5">
        <v>0.5803</v>
      </c>
      <c r="P8" s="5">
        <v>0.020375</v>
      </c>
    </row>
    <row r="9" spans="1:16">
      <c r="A9" t="s">
        <v>15</v>
      </c>
      <c r="B9" t="s">
        <v>34</v>
      </c>
      <c r="C9">
        <v>538773912</v>
      </c>
      <c r="D9" s="2">
        <v>538.773912</v>
      </c>
      <c r="E9">
        <v>1397814791</v>
      </c>
      <c r="F9">
        <v>441199527</v>
      </c>
      <c r="G9" s="3">
        <v>0.32</v>
      </c>
      <c r="H9">
        <v>69179937</v>
      </c>
      <c r="I9">
        <v>50635650</v>
      </c>
      <c r="J9" s="4">
        <v>0.7319</v>
      </c>
      <c r="K9">
        <v>29288792</v>
      </c>
      <c r="L9">
        <v>762395</v>
      </c>
      <c r="M9" s="4">
        <v>0.026</v>
      </c>
      <c r="N9" s="5">
        <v>0.538773912</v>
      </c>
      <c r="O9" s="5">
        <v>0.517174</v>
      </c>
      <c r="P9" s="5">
        <v>0.020303</v>
      </c>
    </row>
    <row r="10" spans="1:16">
      <c r="A10" t="s">
        <v>16</v>
      </c>
      <c r="B10" t="s">
        <v>33</v>
      </c>
      <c r="C10">
        <v>4843395540</v>
      </c>
      <c r="D10" s="2">
        <v>4843.39554</v>
      </c>
      <c r="E10">
        <v>12581057424</v>
      </c>
      <c r="F10">
        <v>10447820352</v>
      </c>
      <c r="G10" s="3">
        <v>0.83</v>
      </c>
      <c r="H10">
        <v>838487082</v>
      </c>
      <c r="I10">
        <v>400456125</v>
      </c>
      <c r="J10" s="4">
        <v>0.4776</v>
      </c>
      <c r="K10">
        <v>802844979</v>
      </c>
      <c r="L10">
        <v>69948</v>
      </c>
      <c r="M10" s="4">
        <v>0.0001</v>
      </c>
      <c r="N10" s="5">
        <v>4.84339554</v>
      </c>
      <c r="O10" s="5">
        <v>4.816015</v>
      </c>
      <c r="P10" s="5">
        <v>0.009959</v>
      </c>
    </row>
    <row r="11" spans="1:16">
      <c r="A11" t="s">
        <v>16</v>
      </c>
      <c r="B11" t="s">
        <v>34</v>
      </c>
      <c r="C11">
        <v>5258884170</v>
      </c>
      <c r="D11" s="2">
        <v>5258.88417</v>
      </c>
      <c r="E11">
        <v>13577147830</v>
      </c>
      <c r="F11">
        <v>1464300149</v>
      </c>
      <c r="G11" s="3">
        <v>0.11</v>
      </c>
      <c r="H11">
        <v>1177032216</v>
      </c>
      <c r="I11">
        <v>400755900</v>
      </c>
      <c r="J11" s="4">
        <v>0.3405</v>
      </c>
      <c r="K11">
        <v>103883229</v>
      </c>
      <c r="L11">
        <v>124615</v>
      </c>
      <c r="M11" s="4">
        <v>0.0012</v>
      </c>
      <c r="N11" s="5">
        <v>5.25888417</v>
      </c>
      <c r="O11" s="5">
        <v>5.145532</v>
      </c>
      <c r="P11" s="5">
        <v>0.058894</v>
      </c>
    </row>
    <row r="12" spans="1:16">
      <c r="A12" t="s">
        <v>17</v>
      </c>
      <c r="B12" t="s">
        <v>33</v>
      </c>
      <c r="C12">
        <v>830418495</v>
      </c>
      <c r="D12" s="2">
        <v>830.418495</v>
      </c>
      <c r="E12">
        <v>2153034837</v>
      </c>
      <c r="F12">
        <v>2470837959</v>
      </c>
      <c r="G12" s="3">
        <v>1.15</v>
      </c>
      <c r="H12">
        <v>81011102</v>
      </c>
      <c r="I12">
        <v>21071597</v>
      </c>
      <c r="J12" s="4">
        <v>0.2601</v>
      </c>
      <c r="K12">
        <v>344575837</v>
      </c>
      <c r="L12">
        <v>1333618</v>
      </c>
      <c r="M12" s="4">
        <v>0.0039</v>
      </c>
      <c r="N12" s="5">
        <v>0.830418495</v>
      </c>
      <c r="O12" s="5">
        <v>0.817123</v>
      </c>
      <c r="P12" s="5">
        <v>0.010088</v>
      </c>
    </row>
    <row r="13" spans="1:16">
      <c r="A13" t="s">
        <v>17</v>
      </c>
      <c r="B13" t="s">
        <v>34</v>
      </c>
      <c r="C13">
        <v>456658570</v>
      </c>
      <c r="D13" s="2">
        <v>456.65857</v>
      </c>
      <c r="E13">
        <v>1183743075</v>
      </c>
      <c r="F13">
        <v>1456547822</v>
      </c>
      <c r="G13" s="3">
        <v>1.23</v>
      </c>
      <c r="H13">
        <v>82140239</v>
      </c>
      <c r="I13">
        <v>21268964</v>
      </c>
      <c r="J13" s="4">
        <v>0.2589</v>
      </c>
      <c r="K13">
        <v>92815785</v>
      </c>
      <c r="L13">
        <v>1327038</v>
      </c>
      <c r="M13" s="4">
        <v>0.0143</v>
      </c>
      <c r="N13" s="5">
        <v>0.45665857</v>
      </c>
      <c r="O13" s="5">
        <v>0.455809</v>
      </c>
      <c r="P13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好学的基基</cp:lastModifiedBy>
  <dcterms:created xsi:type="dcterms:W3CDTF">2026-05-27T02:17:26Z</dcterms:created>
  <dcterms:modified xsi:type="dcterms:W3CDTF">2026-05-27T02:17:36Z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FA7594A3EF5A489D9445049417822BFC_12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